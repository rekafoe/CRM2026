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ёт" sheetId="1" state="visible" r:id="rId1"/>
    <sheet name="Как пользоватьс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4" customWidth="1" min="5" max="5"/>
    <col width="22" customWidth="1" min="6" max="6"/>
  </cols>
  <sheetData>
    <row r="1">
      <c r="A1" s="1" t="inlineStr">
        <is>
          <t>Себестоимость УФ-печати (чернила), руб / м²</t>
        </is>
      </c>
    </row>
    <row r="2">
      <c r="A2" t="inlineStr">
        <is>
          <t>Запас на промывки и потери, %</t>
        </is>
      </c>
      <c r="B2" t="n">
        <v>0</v>
      </c>
      <c r="C2" t="inlineStr">
        <is>
          <t>добавляется к сумме чернил</t>
        </is>
      </c>
    </row>
    <row r="4">
      <c r="A4" s="2" t="inlineStr">
        <is>
          <t>Канал / чернила</t>
        </is>
      </c>
      <c r="B4" s="2" t="inlineStr">
        <is>
          <t>Объём банки, мл</t>
        </is>
      </c>
      <c r="C4" s="2" t="inlineStr">
        <is>
          <t>Цена банки, руб</t>
        </is>
      </c>
      <c r="D4" s="2" t="inlineStr">
        <is>
          <t>Расход на 1 м², мл</t>
        </is>
      </c>
      <c r="E4" s="2" t="inlineStr">
        <is>
          <t>Цена 1 мл, руб</t>
        </is>
      </c>
      <c r="F4" s="2" t="inlineStr">
        <is>
          <t>Руб на 1 м² по каналу</t>
        </is>
      </c>
    </row>
    <row r="5">
      <c r="A5" t="inlineStr">
        <is>
          <t>Cyan</t>
        </is>
      </c>
      <c r="B5" s="3" t="inlineStr"/>
      <c r="C5" s="3" t="inlineStr"/>
      <c r="D5" s="3" t="inlineStr"/>
      <c r="E5" s="3">
        <f>IF(B5=0,0,C5/B5)</f>
        <v/>
      </c>
      <c r="F5" s="3">
        <f>IF(B5=0,0,D5*C5/B5)</f>
        <v/>
      </c>
    </row>
    <row r="6">
      <c r="A6" t="inlineStr">
        <is>
          <t>Magenta</t>
        </is>
      </c>
      <c r="B6" s="3" t="inlineStr"/>
      <c r="C6" s="3" t="inlineStr"/>
      <c r="D6" s="3" t="inlineStr"/>
      <c r="E6" s="3">
        <f>IF(B6=0,0,C6/B6)</f>
        <v/>
      </c>
      <c r="F6" s="3">
        <f>IF(B6=0,0,D6*C6/B6)</f>
        <v/>
      </c>
    </row>
    <row r="7">
      <c r="A7" t="inlineStr">
        <is>
          <t>Yellow</t>
        </is>
      </c>
      <c r="B7" s="3" t="inlineStr"/>
      <c r="C7" s="3" t="inlineStr"/>
      <c r="D7" s="3" t="inlineStr"/>
      <c r="E7" s="3">
        <f>IF(B7=0,0,C7/B7)</f>
        <v/>
      </c>
      <c r="F7" s="3">
        <f>IF(B7=0,0,D7*C7/B7)</f>
        <v/>
      </c>
    </row>
    <row r="8">
      <c r="A8" t="inlineStr">
        <is>
          <t>Black</t>
        </is>
      </c>
      <c r="B8" s="3" t="inlineStr"/>
      <c r="C8" s="3" t="inlineStr"/>
      <c r="D8" s="3" t="inlineStr"/>
      <c r="E8" s="3">
        <f>IF(B8=0,0,C8/B8)</f>
        <v/>
      </c>
      <c r="F8" s="3">
        <f>IF(B8=0,0,D8*C8/B8)</f>
        <v/>
      </c>
    </row>
    <row r="9">
      <c r="A9" t="inlineStr">
        <is>
          <t>White</t>
        </is>
      </c>
      <c r="B9" s="3" t="inlineStr"/>
      <c r="C9" s="3" t="inlineStr"/>
      <c r="D9" s="3" t="inlineStr"/>
      <c r="E9" s="3">
        <f>IF(B9=0,0,C9/B9)</f>
        <v/>
      </c>
      <c r="F9" s="3">
        <f>IF(B9=0,0,D9*C9/B9)</f>
        <v/>
      </c>
    </row>
    <row r="10">
      <c r="A10" t="inlineStr">
        <is>
          <t>Varnish / лак</t>
        </is>
      </c>
      <c r="B10" s="3" t="inlineStr"/>
      <c r="C10" s="3" t="inlineStr"/>
      <c r="D10" s="3" t="inlineStr"/>
      <c r="E10" s="3">
        <f>IF(B10=0,0,C10/B10)</f>
        <v/>
      </c>
      <c r="F10" s="3">
        <f>IF(B10=0,0,D10*C10/B10)</f>
        <v/>
      </c>
    </row>
    <row r="11">
      <c r="A11" t="inlineStr">
        <is>
          <t>Glue / клей</t>
        </is>
      </c>
      <c r="B11" s="3" t="inlineStr"/>
      <c r="C11" s="3" t="inlineStr"/>
      <c r="D11" s="3" t="inlineStr"/>
      <c r="E11" s="3">
        <f>IF(B11=0,0,C11/B11)</f>
        <v/>
      </c>
      <c r="F11" s="3">
        <f>IF(B11=0,0,D11*C11/B11)</f>
        <v/>
      </c>
    </row>
    <row r="12">
      <c r="A12" t="inlineStr">
        <is>
          <t>Другое</t>
        </is>
      </c>
      <c r="B12" s="3" t="inlineStr"/>
      <c r="C12" s="3" t="inlineStr"/>
      <c r="D12" s="3" t="inlineStr"/>
      <c r="E12" s="3">
        <f>IF(B12=0,0,C12/B12)</f>
        <v/>
      </c>
      <c r="F12" s="3">
        <f>IF(B12=0,0,D12*C12/B12)</f>
        <v/>
      </c>
    </row>
    <row r="14">
      <c r="A14" s="4" t="inlineStr">
        <is>
          <t>Итого только чернила, руб/м²</t>
        </is>
      </c>
      <c r="F14" s="4">
        <f>SUM(F5:F12)</f>
        <v/>
      </c>
    </row>
    <row r="15">
      <c r="A15" s="4" t="inlineStr">
        <is>
          <t>Итого с учётом потерь, % (ячейка B2)</t>
        </is>
      </c>
      <c r="F15" s="4">
        <f>F14*(1+B2/100)</f>
        <v/>
      </c>
    </row>
    <row r="17">
      <c r="A17" t="inlineStr">
        <is>
          <t>Материал / подложка на 1 м², руб (вручную)</t>
        </is>
      </c>
      <c r="C17" t="n">
        <v>0</v>
      </c>
    </row>
    <row r="18">
      <c r="A18" s="4" t="inlineStr">
        <is>
          <t>ИТОГО чернила+потери+материал, руб/м²</t>
        </is>
      </c>
      <c r="F18" s="4">
        <f>F15+C17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1. В столбце B укажите объём одной поставляемой банки (мл).</t>
        </is>
      </c>
    </row>
    <row r="2">
      <c r="A2" t="inlineStr">
        <is>
          <t>2. В столбце C — цену этой банки в рублях (с НДС или без, как считаете для себя).</t>
        </is>
      </c>
    </row>
    <row r="3">
      <c r="A3" t="inlineStr">
        <is>
          <t>3. В столбце D — ваш расход этого канала на 1 м² печати (мл). Берите из RIP, замеров или данных поставщика.</t>
        </is>
      </c>
    </row>
    <row r="4">
      <c r="A4" t="inlineStr">
        <is>
          <t>4. Столбцы E и F считаются сами: цена за 1 мл и вклад канала в руб/м².</t>
        </is>
      </c>
    </row>
    <row r="5">
      <c r="A5" t="inlineStr">
        <is>
          <t>5. Неиспользуемые строки оставьте пустыми (объём банки = 0 или не заполняйте расход).</t>
        </is>
      </c>
    </row>
    <row r="6">
      <c r="A6" t="inlineStr">
        <is>
          <t>6. B2 — процент запаса на промывки и потери (например 5 означает +5% к сумме чернил).</t>
        </is>
      </c>
    </row>
    <row r="7">
      <c r="A7" t="inlineStr">
        <is>
          <t>7. Материал на 1 м² — подложка, плёнка и т.п., если нужно в итог.</t>
        </is>
      </c>
    </row>
    <row r="8">
      <c r="A8" t="inlineStr"/>
    </row>
    <row r="9">
      <c r="A9" t="inlineStr">
        <is>
          <t>Формула по каналу: (расход_мл_на_м² / объём_банки_мл) × цена_банки.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2026-05-01T09:59:41Z</dcterms:created>
  <dcterms:modified xsi:type="dcterms:W3CDTF">2026-05-01T09:59:41Z</dcterms:modified>
</cp:coreProperties>
</file>